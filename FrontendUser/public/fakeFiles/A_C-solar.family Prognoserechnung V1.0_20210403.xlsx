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3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chnee/Downloads/MASTER DATEIEN/SOLAR.FAMILY/SPEC PLATTFORM/MUSTERDOKUMENTE/"/>
    </mc:Choice>
  </mc:AlternateContent>
  <xr:revisionPtr revIDLastSave="0" documentId="13_ncr:1_{B0E217BA-8651-3447-A332-F715B7A06F2C}" xr6:coauthVersionLast="46" xr6:coauthVersionMax="46" xr10:uidLastSave="{00000000-0000-0000-0000-000000000000}"/>
  <bookViews>
    <workbookView xWindow="0" yWindow="500" windowWidth="28800" windowHeight="16920" tabRatio="500" xr2:uid="{00000000-000D-0000-FFFF-FFFF00000000}"/>
  </bookViews>
  <sheets>
    <sheet name="Beilage_Vertrag" sheetId="1" r:id="rId1"/>
  </sheets>
  <definedNames>
    <definedName name="_xlnm.Print_Area" localSheetId="0">Beilage_Vertrag!$A$2:$D$52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43" i="1" l="1"/>
  <c r="B41" i="1"/>
  <c r="B40" i="1"/>
  <c r="B38" i="1"/>
  <c r="B29" i="1"/>
  <c r="B31" i="1" s="1"/>
  <c r="B25" i="1"/>
  <c r="B36" i="1"/>
  <c r="B44" i="1" l="1"/>
  <c r="B45" i="1" s="1"/>
</calcChain>
</file>

<file path=xl/sharedStrings.xml><?xml version="1.0" encoding="utf-8"?>
<sst xmlns="http://schemas.openxmlformats.org/spreadsheetml/2006/main" count="79" uniqueCount="63">
  <si>
    <t>Ausgangssituation Strom:</t>
  </si>
  <si>
    <t>Energielieferant:</t>
  </si>
  <si>
    <t>Rechnung:</t>
  </si>
  <si>
    <t>Abrechnungszeitraum:</t>
  </si>
  <si>
    <t>Tarif Strom Allgemein:</t>
  </si>
  <si>
    <t>Verbrauch Strom Allgemein:</t>
  </si>
  <si>
    <t>€</t>
  </si>
  <si>
    <t>SWWB BB Photovoltaik-Anlage:</t>
  </si>
  <si>
    <t>Vorgesehene Photovoltaik-Anlagenleistung</t>
  </si>
  <si>
    <t>kWp</t>
  </si>
  <si>
    <t>Prognose Stromertrag / Jahr</t>
  </si>
  <si>
    <t>kWh</t>
  </si>
  <si>
    <t>Tarif Eigenverbrauch inkl. Ust.</t>
  </si>
  <si>
    <t>Prognose Überschussstrom / Jahr</t>
  </si>
  <si>
    <t>Tarif Überschussstrom inkl. Ust.</t>
  </si>
  <si>
    <t>Preis Photovoltaik-Anlage inkl. Ust.</t>
  </si>
  <si>
    <t>Situation neu mit SKWB BB Photovotlaik-Anlage:</t>
  </si>
  <si>
    <t>Prognose Verbrauch Strom Allgemein</t>
  </si>
  <si>
    <t>Prognose Aufwand Strom Allgemein inkl. Ust.</t>
  </si>
  <si>
    <t>Prognose Gutschrift PV-Überschussstrom inkl. Ust.</t>
  </si>
  <si>
    <t>Prognose Aufwand Strom Gesamt neu inkl. Ust.</t>
  </si>
  <si>
    <t>Prognose Übergang Photovotlaik in Eigentum****</t>
  </si>
  <si>
    <t>Jahre</t>
  </si>
  <si>
    <t>* Die Übersicht ist als Prognoserechnung zu verstehen und stellt keine Vertragsbestandteil dar !</t>
  </si>
  <si>
    <t>** Vorbehaltlich Verfügbarkeit der Fördermittel.</t>
  </si>
  <si>
    <t>*** Der Preis inkludiert keine Aufwände für die Servicepauschale und die Herstellung des Internetzuganges.</t>
  </si>
  <si>
    <t>**** Der Zeitraum des Eigentumüberganges ist vom PV-Stromeigenverbrauchsanteil abhängig !</t>
  </si>
  <si>
    <t>Prognose Eigenverbrauch / Jahr</t>
  </si>
  <si>
    <t>Betrag anteilige Planung</t>
  </si>
  <si>
    <t>Preis PV-Anlage abzgl. Förderung und anteil. P. inkl. Ust. ***</t>
  </si>
  <si>
    <t>kWh / a</t>
  </si>
  <si>
    <t>Aufwand Strom Allgemein inkl. USt.</t>
  </si>
  <si>
    <t>Förderzuschuss Bund (KPC)**</t>
  </si>
  <si>
    <t>Energie Burgenland AG</t>
  </si>
  <si>
    <t>30.06.2017-30.06.2018</t>
  </si>
  <si>
    <t>Optima Komfort</t>
  </si>
  <si>
    <t>[BOF]</t>
  </si>
  <si>
    <t xml:space="preserve">Sonnenkraftwerk Ollersdorf IV [BOT1] Prognoserechnung* Ing. [IDT3] Max Sonnenschein [IDT2], MSc. [IDT4] </t>
  </si>
  <si>
    <t>[BOG]</t>
  </si>
  <si>
    <t>[BOH]</t>
  </si>
  <si>
    <t>[BOIa]</t>
  </si>
  <si>
    <t>[BOJ]</t>
  </si>
  <si>
    <t>[BOZ1]</t>
  </si>
  <si>
    <t>[BOZ2]</t>
  </si>
  <si>
    <t>[BOZ3]</t>
  </si>
  <si>
    <t>[SUZ1]</t>
  </si>
  <si>
    <t>= [BOJ] x [BOIb]</t>
  </si>
  <si>
    <t>= [BOZ2] - [BOZ3]</t>
  </si>
  <si>
    <t>[SUZ2]</t>
  </si>
  <si>
    <t>[PPZ2]</t>
  </si>
  <si>
    <t>[BOZ4]</t>
  </si>
  <si>
    <t>[PFZ3]</t>
  </si>
  <si>
    <t>= [PPZ2] - [BOZ4] - [PFZ3]</t>
  </si>
  <si>
    <t>= [BOJ] - [BOZ3]</t>
  </si>
  <si>
    <t>= ([BOJ] - [BOZ3]) * [BOIb]</t>
  </si>
  <si>
    <t>Prognose Aufwand PV-Strom Eigenverbauch an solar.family</t>
  </si>
  <si>
    <t>Prognose Aufwand PV-Überschussstrom an solar.family</t>
  </si>
  <si>
    <t>Restbetrag nach 12,5 Jahren an solar.family</t>
  </si>
  <si>
    <t>= ([BOZ2] - [BOZ3]) * [BOZ5]</t>
  </si>
  <si>
    <t>= [BOZ3] * [SUZ1]</t>
  </si>
  <si>
    <t>= ([BOZ2] - [BOZ3]) * [SUZ2]</t>
  </si>
  <si>
    <t>=&gt; siehe Formel</t>
  </si>
  <si>
    <t>=&gt; siehe Formel / * Eigentumsübergang nach max. 12,5 Jahren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</si>
</sst>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"/>
  </numFmts>
  <fonts count="16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u/>
      <sz val="12"/>
      <color rgb="FFFF0000"/>
      <name val="Arial"/>
      <family val="2"/>
    </font>
    <font>
      <b/>
      <sz val="12"/>
      <color rgb="FFFF0000"/>
      <name val="Arial"/>
      <family val="2"/>
    </font>
    <font>
      <b/>
      <u/>
      <sz val="12"/>
      <color rgb="FF0000FF"/>
      <name val="Arial"/>
      <family val="2"/>
    </font>
    <font>
      <b/>
      <sz val="12"/>
      <color rgb="FF0000FF"/>
      <name val="Arial"/>
      <family val="2"/>
    </font>
    <font>
      <b/>
      <u/>
      <sz val="12"/>
      <color rgb="FF008000"/>
      <name val="Arial"/>
      <family val="2"/>
    </font>
    <font>
      <sz val="12"/>
      <color rgb="FFFF0000"/>
      <name val="Arial"/>
      <family val="2"/>
    </font>
    <font>
      <sz val="12"/>
      <color rgb="FF008000"/>
      <name val="Arial"/>
      <family val="2"/>
    </font>
    <font>
      <b/>
      <sz val="12"/>
      <color rgb="FF008000"/>
      <name val="Arial"/>
      <family val="2"/>
    </font>
    <font>
      <sz val="10"/>
      <color theme="1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BetaSemi"/>
      <family val="3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4">
    <xf numFmtId="0" fontId="0" fillId="0" borderId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5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" fontId="3" fillId="0" borderId="0" xfId="0" applyNumberFormat="1" applyFont="1"/>
    <xf numFmtId="0" fontId="1" fillId="0" borderId="1" xfId="0" applyFont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3" fontId="7" fillId="0" borderId="0" xfId="0" applyNumberFormat="1" applyFont="1"/>
    <xf numFmtId="4" fontId="7" fillId="0" borderId="0" xfId="0" applyNumberFormat="1" applyFont="1"/>
    <xf numFmtId="0" fontId="8" fillId="0" borderId="0" xfId="0" applyFont="1"/>
    <xf numFmtId="4" fontId="8" fillId="0" borderId="0" xfId="0" applyNumberFormat="1" applyFont="1"/>
    <xf numFmtId="4" fontId="1" fillId="0" borderId="0" xfId="0" applyNumberFormat="1" applyFont="1"/>
    <xf numFmtId="0" fontId="9" fillId="0" borderId="0" xfId="0" applyFont="1"/>
    <xf numFmtId="165" fontId="9" fillId="0" borderId="0" xfId="0" applyNumberFormat="1" applyFont="1" applyAlignment="1">
      <alignment horizontal="right"/>
    </xf>
    <xf numFmtId="0" fontId="3" fillId="0" borderId="1" xfId="0" applyFont="1" applyBorder="1"/>
    <xf numFmtId="4" fontId="3" fillId="0" borderId="1" xfId="0" applyNumberFormat="1" applyFont="1" applyBorder="1"/>
    <xf numFmtId="0" fontId="10" fillId="0" borderId="1" xfId="0" applyFont="1" applyBorder="1"/>
    <xf numFmtId="2" fontId="7" fillId="0" borderId="0" xfId="0" applyNumberFormat="1" applyFont="1"/>
    <xf numFmtId="2" fontId="1" fillId="0" borderId="0" xfId="0" applyNumberFormat="1" applyFont="1" applyFill="1"/>
    <xf numFmtId="0" fontId="1" fillId="0" borderId="0" xfId="0" applyFont="1" applyFill="1"/>
    <xf numFmtId="3" fontId="1" fillId="0" borderId="0" xfId="0" applyNumberFormat="1" applyFont="1" applyFill="1"/>
    <xf numFmtId="3" fontId="5" fillId="0" borderId="0" xfId="0" applyNumberFormat="1" applyFont="1" applyFill="1"/>
    <xf numFmtId="164" fontId="1" fillId="0" borderId="0" xfId="0" applyNumberFormat="1" applyFont="1" applyFill="1"/>
    <xf numFmtId="3" fontId="3" fillId="0" borderId="0" xfId="0" applyNumberFormat="1" applyFont="1" applyFill="1"/>
    <xf numFmtId="4" fontId="3" fillId="0" borderId="0" xfId="0" applyNumberFormat="1" applyFont="1" applyFill="1"/>
    <xf numFmtId="4" fontId="7" fillId="0" borderId="0" xfId="0" applyNumberFormat="1" applyFont="1" applyFill="1"/>
    <xf numFmtId="4" fontId="1" fillId="0" borderId="0" xfId="0" applyNumberFormat="1" applyFont="1" applyFill="1"/>
    <xf numFmtId="4" fontId="5" fillId="0" borderId="0" xfId="0" applyNumberFormat="1" applyFont="1" applyFill="1"/>
    <xf numFmtId="0" fontId="10" fillId="0" borderId="0" xfId="0" applyFont="1" applyAlignment="1">
      <alignment horizontal="left"/>
    </xf>
    <xf numFmtId="0" fontId="14" fillId="0" borderId="0" xfId="0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2" borderId="0" xfId="0" applyFont="1" applyFill="1"/>
    <xf numFmtId="0" fontId="1" fillId="2" borderId="0" xfId="0" quotePrefix="1" applyFont="1" applyFill="1"/>
    <xf numFmtId="0" fontId="1" fillId="0" borderId="0" xfId="0" quotePrefix="1" applyFont="1"/>
  </cellXfs>
  <cellStyles count="4">
    <cellStyle name="Besuchter Hyperlink" xfId="2" builtinId="9" hidden="1"/>
    <cellStyle name="Link" xfId="1" builtinId="8" hidden="1"/>
    <cellStyle name="Standard" xfId="0" builtinId="0"/>
    <cellStyle name="Standard 2" xfId="3" xr:uid="{00000000-0005-0000-0000-000003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E52"/>
  <sheetViews>
    <sheetView tabSelected="1" view="pageLayout" zoomScale="120" zoomScaleNormal="100" zoomScalePageLayoutView="120" workbookViewId="0">
      <selection activeCell="D46" sqref="D46"/>
    </sheetView>
  </sheetViews>
  <sheetFormatPr baseColWidth="10" defaultColWidth="10.83203125" defaultRowHeight="16"/>
  <cols>
    <col min="1" max="1" width="57.1640625" style="1" customWidth="1"/>
    <col min="2" max="2" width="30.1640625" style="1" customWidth="1"/>
    <col min="3" max="3" width="10.83203125" style="1"/>
    <col min="4" max="4" width="57.5" style="1" customWidth="1"/>
    <col min="5" max="16384" width="10.83203125" style="1"/>
  </cols>
  <sheetData>
    <row r="2" spans="1:4">
      <c r="A2" s="32" t="s">
        <v>37</v>
      </c>
      <c r="B2" s="32"/>
      <c r="C2" s="32"/>
    </row>
    <row r="3" spans="1:4" ht="29" customHeight="1">
      <c r="A3" s="32"/>
      <c r="B3" s="32"/>
      <c r="C3" s="32"/>
    </row>
    <row r="7" spans="1:4">
      <c r="A7" s="2" t="s">
        <v>0</v>
      </c>
    </row>
    <row r="8" spans="1:4">
      <c r="A8" s="1" t="s">
        <v>1</v>
      </c>
      <c r="B8" s="33" t="s">
        <v>33</v>
      </c>
      <c r="C8" s="33"/>
      <c r="D8" s="34" t="s">
        <v>36</v>
      </c>
    </row>
    <row r="9" spans="1:4">
      <c r="A9" s="1" t="s">
        <v>2</v>
      </c>
      <c r="B9" s="33">
        <v>30104352557</v>
      </c>
      <c r="C9" s="33"/>
      <c r="D9" s="34" t="s">
        <v>38</v>
      </c>
    </row>
    <row r="10" spans="1:4">
      <c r="A10" s="1" t="s">
        <v>3</v>
      </c>
      <c r="B10" s="33" t="s">
        <v>34</v>
      </c>
      <c r="C10" s="33"/>
      <c r="D10" s="34" t="s">
        <v>39</v>
      </c>
    </row>
    <row r="11" spans="1:4" ht="5" customHeight="1"/>
    <row r="12" spans="1:4">
      <c r="A12" s="1" t="s">
        <v>4</v>
      </c>
      <c r="B12" s="33" t="s">
        <v>35</v>
      </c>
      <c r="C12" s="33"/>
      <c r="D12" s="34" t="s">
        <v>40</v>
      </c>
    </row>
    <row r="13" spans="1:4">
      <c r="A13" s="3" t="s">
        <v>5</v>
      </c>
      <c r="B13" s="26">
        <v>5534</v>
      </c>
      <c r="C13" s="3" t="s">
        <v>30</v>
      </c>
      <c r="D13" s="34" t="s">
        <v>41</v>
      </c>
    </row>
    <row r="14" spans="1:4">
      <c r="A14" s="3" t="s">
        <v>31</v>
      </c>
      <c r="B14" s="27">
        <v>993.92</v>
      </c>
      <c r="C14" s="3" t="s">
        <v>6</v>
      </c>
      <c r="D14" s="35" t="s">
        <v>46</v>
      </c>
    </row>
    <row r="15" spans="1:4" ht="17" thickBot="1">
      <c r="A15" s="19"/>
      <c r="B15" s="5"/>
      <c r="C15" s="5"/>
    </row>
    <row r="17" spans="1:4">
      <c r="A17" s="6" t="s">
        <v>7</v>
      </c>
    </row>
    <row r="18" spans="1:4">
      <c r="A18" s="1" t="s">
        <v>8</v>
      </c>
      <c r="B18" s="21">
        <v>3.78</v>
      </c>
      <c r="C18" s="1" t="s">
        <v>9</v>
      </c>
      <c r="D18" s="34" t="s">
        <v>42</v>
      </c>
    </row>
    <row r="19" spans="1:4" ht="5" customHeight="1">
      <c r="B19" s="22"/>
    </row>
    <row r="20" spans="1:4">
      <c r="A20" s="1" t="s">
        <v>10</v>
      </c>
      <c r="B20" s="23">
        <v>3335</v>
      </c>
      <c r="C20" s="1" t="s">
        <v>11</v>
      </c>
      <c r="D20" s="34" t="s">
        <v>43</v>
      </c>
    </row>
    <row r="21" spans="1:4" ht="5" customHeight="1">
      <c r="B21" s="23"/>
    </row>
    <row r="22" spans="1:4">
      <c r="A22" s="7" t="s">
        <v>27</v>
      </c>
      <c r="B22" s="24">
        <v>2314</v>
      </c>
      <c r="C22" s="7" t="s">
        <v>11</v>
      </c>
      <c r="D22" s="34" t="s">
        <v>44</v>
      </c>
    </row>
    <row r="23" spans="1:4">
      <c r="A23" s="1" t="s">
        <v>12</v>
      </c>
      <c r="B23" s="25">
        <v>0.185</v>
      </c>
      <c r="C23" s="1" t="s">
        <v>6</v>
      </c>
      <c r="D23" s="34" t="s">
        <v>45</v>
      </c>
    </row>
    <row r="24" spans="1:4" ht="5" customHeight="1">
      <c r="B24" s="25"/>
    </row>
    <row r="25" spans="1:4">
      <c r="A25" s="1" t="s">
        <v>13</v>
      </c>
      <c r="B25" s="23">
        <f>B20-B22</f>
        <v>1021</v>
      </c>
      <c r="C25" s="1" t="s">
        <v>11</v>
      </c>
      <c r="D25" s="35" t="s">
        <v>47</v>
      </c>
    </row>
    <row r="26" spans="1:4">
      <c r="A26" s="1" t="s">
        <v>14</v>
      </c>
      <c r="B26" s="25">
        <v>6.5000000000000002E-2</v>
      </c>
      <c r="C26" s="1" t="s">
        <v>6</v>
      </c>
      <c r="D26" s="34" t="s">
        <v>48</v>
      </c>
    </row>
    <row r="27" spans="1:4" ht="5" customHeight="1">
      <c r="B27" s="22"/>
    </row>
    <row r="28" spans="1:4">
      <c r="A28" s="1" t="s">
        <v>15</v>
      </c>
      <c r="B28" s="29">
        <v>7233.8339999999998</v>
      </c>
      <c r="C28" s="1" t="s">
        <v>6</v>
      </c>
      <c r="D28" s="34" t="s">
        <v>49</v>
      </c>
    </row>
    <row r="29" spans="1:4">
      <c r="A29" s="1" t="s">
        <v>32</v>
      </c>
      <c r="B29" s="29">
        <f>B18*250</f>
        <v>945</v>
      </c>
      <c r="C29" s="1" t="s">
        <v>6</v>
      </c>
      <c r="D29" s="34" t="s">
        <v>50</v>
      </c>
    </row>
    <row r="30" spans="1:4">
      <c r="A30" s="1" t="s">
        <v>28</v>
      </c>
      <c r="B30" s="29">
        <v>228</v>
      </c>
      <c r="C30" s="1" t="s">
        <v>6</v>
      </c>
      <c r="D30" s="34" t="s">
        <v>51</v>
      </c>
    </row>
    <row r="31" spans="1:4">
      <c r="A31" s="7" t="s">
        <v>29</v>
      </c>
      <c r="B31" s="30">
        <f>B28-B29-B30</f>
        <v>6060.8339999999998</v>
      </c>
      <c r="C31" s="1" t="s">
        <v>6</v>
      </c>
      <c r="D31" s="35" t="s">
        <v>52</v>
      </c>
    </row>
    <row r="32" spans="1:4" ht="5" customHeight="1"/>
    <row r="33" spans="1:5" ht="17" thickBot="1">
      <c r="A33" s="5"/>
      <c r="B33" s="5"/>
      <c r="C33" s="5"/>
    </row>
    <row r="35" spans="1:5">
      <c r="A35" s="8" t="s">
        <v>16</v>
      </c>
    </row>
    <row r="36" spans="1:5">
      <c r="A36" s="9" t="s">
        <v>17</v>
      </c>
      <c r="B36" s="10">
        <f>B13-B22</f>
        <v>3220</v>
      </c>
      <c r="C36" s="9" t="s">
        <v>11</v>
      </c>
      <c r="D36" s="35" t="s">
        <v>53</v>
      </c>
    </row>
    <row r="37" spans="1:5">
      <c r="A37" s="9" t="s">
        <v>18</v>
      </c>
      <c r="B37" s="28">
        <v>675.66</v>
      </c>
      <c r="C37" s="9" t="s">
        <v>6</v>
      </c>
      <c r="D37" s="35" t="s">
        <v>54</v>
      </c>
    </row>
    <row r="38" spans="1:5">
      <c r="A38" s="12" t="s">
        <v>19</v>
      </c>
      <c r="B38" s="13">
        <f>(B20-B22)*0.0753</f>
        <v>76.88130000000001</v>
      </c>
      <c r="C38" s="12" t="s">
        <v>6</v>
      </c>
      <c r="D38" s="35" t="s">
        <v>58</v>
      </c>
    </row>
    <row r="39" spans="1:5" ht="5" customHeight="1"/>
    <row r="40" spans="1:5">
      <c r="A40" s="9" t="s">
        <v>55</v>
      </c>
      <c r="B40" s="20">
        <f>B22*B23</f>
        <v>428.09</v>
      </c>
      <c r="C40" s="9" t="s">
        <v>6</v>
      </c>
      <c r="D40" s="35" t="s">
        <v>59</v>
      </c>
    </row>
    <row r="41" spans="1:5">
      <c r="A41" s="9" t="s">
        <v>56</v>
      </c>
      <c r="B41" s="11">
        <f>B25*B26</f>
        <v>66.365000000000009</v>
      </c>
      <c r="C41" s="9" t="s">
        <v>6</v>
      </c>
      <c r="D41" s="35" t="s">
        <v>60</v>
      </c>
    </row>
    <row r="42" spans="1:5" ht="5" customHeight="1"/>
    <row r="43" spans="1:5">
      <c r="A43" s="3" t="s">
        <v>20</v>
      </c>
      <c r="B43" s="4">
        <f>B37-B38+B40+B41</f>
        <v>1093.2337</v>
      </c>
      <c r="C43" s="3" t="s">
        <v>6</v>
      </c>
      <c r="D43" s="36" t="s">
        <v>61</v>
      </c>
      <c r="E43" s="14"/>
    </row>
    <row r="44" spans="1:5">
      <c r="A44" s="15" t="s">
        <v>21</v>
      </c>
      <c r="B44" s="16">
        <f>IF(B31/(B40+B41)&lt;12.5,B31/(B40+B41),12.5)</f>
        <v>12.257604837649533</v>
      </c>
      <c r="C44" s="15" t="s">
        <v>22</v>
      </c>
      <c r="D44" s="36" t="s">
        <v>62</v>
      </c>
    </row>
    <row r="45" spans="1:5">
      <c r="A45" s="3" t="s">
        <v>57</v>
      </c>
      <c r="B45" s="4">
        <f>B31-B44*(B41+B40)</f>
        <v>0</v>
      </c>
      <c r="C45" s="3" t="s">
        <v>6</v>
      </c>
      <c r="D45" s="36" t="s">
        <v>61</v>
      </c>
    </row>
    <row r="46" spans="1:5" ht="17" thickBot="1">
      <c r="A46" s="17"/>
      <c r="B46" s="18"/>
      <c r="C46" s="17"/>
    </row>
    <row r="49" spans="1:3">
      <c r="A49" s="31" t="s">
        <v>23</v>
      </c>
      <c r="B49" s="31"/>
      <c r="C49" s="31"/>
    </row>
    <row r="50" spans="1:3">
      <c r="A50" s="31" t="s">
        <v>24</v>
      </c>
      <c r="B50" s="31"/>
      <c r="C50" s="31"/>
    </row>
    <row r="51" spans="1:3">
      <c r="A51" s="31" t="s">
        <v>25</v>
      </c>
      <c r="B51" s="31"/>
      <c r="C51" s="31"/>
    </row>
    <row r="52" spans="1:3">
      <c r="A52" s="31" t="s">
        <v>26</v>
      </c>
      <c r="B52" s="31"/>
      <c r="C52" s="31"/>
    </row>
  </sheetData>
  <mergeCells count="9">
    <mergeCell ref="A51:C51"/>
    <mergeCell ref="A52:C52"/>
    <mergeCell ref="A2:C3"/>
    <mergeCell ref="B8:C8"/>
    <mergeCell ref="B9:C9"/>
    <mergeCell ref="B10:C10"/>
    <mergeCell ref="A49:C49"/>
    <mergeCell ref="A50:C50"/>
    <mergeCell ref="B12:C12"/>
  </mergeCells>
  <phoneticPr fontId="13" type="noConversion"/>
  <pageMargins left="0.74803149606299213" right="0.63541666666666663" top="1.7716535433070868" bottom="0.98425196850393704" header="0.51181102362204722" footer="0.51181102362204722"/>
  <pageSetup paperSize="9" scale="53" orientation="portrait" horizontalDpi="4294967292" verticalDpi="4294967292" r:id="rId1"/>
  <headerFooter>
    <oddFooter>&amp;L&amp;"Calibri,Standard"&amp;K000000solar.family GmbH&amp;C&amp;"Calibri,Standard"&amp;K000000Seite 1/1&amp;R&amp;"Calibri,Standard"&amp;K000000&amp;D</oddFooter>
  </headerFooter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Beilage_Vertrag</vt:lpstr>
      <vt:lpstr>Beilage_Vertrag!Druckbereich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Schneemann</dc:creator>
  <cp:lastModifiedBy>Microsoft Office User</cp:lastModifiedBy>
  <cp:lastPrinted>2019-07-01T13:20:00Z</cp:lastPrinted>
  <dcterms:created xsi:type="dcterms:W3CDTF">2015-11-26T15:25:03Z</dcterms:created>
  <dcterms:modified xsi:type="dcterms:W3CDTF">2021-04-03T19:59:18Z</dcterms:modified>
</cp:coreProperties>
</file>